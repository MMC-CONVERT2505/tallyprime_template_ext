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er Tech Expert\Desktop\Tally to excel\"/>
    </mc:Choice>
  </mc:AlternateContent>
  <xr:revisionPtr revIDLastSave="0" documentId="13_ncr:1_{7B1DFB74-B155-4A85-B4DA-01C4A36182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2" i="1" l="1"/>
  <c r="L2" i="1"/>
  <c r="K3" i="1"/>
  <c r="K4" i="1"/>
</calcChain>
</file>

<file path=xl/sharedStrings.xml><?xml version="1.0" encoding="utf-8"?>
<sst xmlns="http://schemas.openxmlformats.org/spreadsheetml/2006/main" count="132" uniqueCount="111">
  <si>
    <t>Display Name</t>
  </si>
  <si>
    <t>Customer Number</t>
  </si>
  <si>
    <t>Customer Sub Type</t>
  </si>
  <si>
    <t>Place Of Contact</t>
  </si>
  <si>
    <t>Currency Code</t>
  </si>
  <si>
    <t>Company Name</t>
  </si>
  <si>
    <t>Salutation</t>
  </si>
  <si>
    <t>First Name</t>
  </si>
  <si>
    <t>Last Name</t>
  </si>
  <si>
    <t>EmailID</t>
  </si>
  <si>
    <t>Phone</t>
  </si>
  <si>
    <t>MobilePhone</t>
  </si>
  <si>
    <t>Facebook</t>
  </si>
  <si>
    <t>Twitter</t>
  </si>
  <si>
    <t>Department</t>
  </si>
  <si>
    <t>Designation</t>
  </si>
  <si>
    <t>Credit Limit</t>
  </si>
  <si>
    <t>Payment Terms</t>
  </si>
  <si>
    <t>Payment Terms Label</t>
  </si>
  <si>
    <t>Notes</t>
  </si>
  <si>
    <t>Website</t>
  </si>
  <si>
    <t>Exemption Reason</t>
  </si>
  <si>
    <t>GST Treatment</t>
  </si>
  <si>
    <t>GST Identification Number (GSTIN)</t>
  </si>
  <si>
    <t>PAN Number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</si>
  <si>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</si>
  <si>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</si>
  <si>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</si>
  <si>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</si>
  <si>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</si>
  <si>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</si>
  <si>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</si>
  <si>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Fax</t>
  </si>
  <si>
    <t>Billing Phone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</si>
  <si>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</si>
  <si>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</si>
  <si>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</si>
  <si>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</si>
  <si>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</si>
  <si>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</si>
  <si>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</si>
  <si>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</si>
  <si>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</t>
  </si>
  <si>
    <t>Portal Status</t>
  </si>
  <si>
    <t>Skype Identity</t>
  </si>
  <si>
    <t>Owner Name</t>
  </si>
  <si>
    <t>Opening Balance</t>
  </si>
  <si>
    <t>Opening Balance Exchange Rate</t>
  </si>
  <si>
    <t>Status</t>
  </si>
  <si>
    <t>Bank Account Payment</t>
  </si>
  <si>
    <t>e-Invoice Registered Vendor</t>
  </si>
  <si>
    <t>e-Invoice Registration Date</t>
  </si>
  <si>
    <t>TDS Name</t>
  </si>
  <si>
    <t>TDS Section Code</t>
  </si>
  <si>
    <t>TDS Percentage</t>
  </si>
  <si>
    <t>Ethan</t>
  </si>
  <si>
    <t>CUS-1</t>
  </si>
  <si>
    <t>Business</t>
  </si>
  <si>
    <t>TN</t>
  </si>
  <si>
    <t>INR</t>
  </si>
  <si>
    <t>ABC &amp; Co.</t>
  </si>
  <si>
    <t>Mr.</t>
  </si>
  <si>
    <t>Samuvel</t>
  </si>
  <si>
    <t>Due on Receipt</t>
  </si>
  <si>
    <t>non taxable</t>
  </si>
  <si>
    <t>business_gst</t>
  </si>
  <si>
    <t>33GSPTN0371G1ZD</t>
  </si>
  <si>
    <t>GSPTN0371G</t>
  </si>
  <si>
    <t>50 Kovil Street</t>
  </si>
  <si>
    <t>Kochi</t>
  </si>
  <si>
    <t>Kerala</t>
  </si>
  <si>
    <t>India</t>
  </si>
  <si>
    <t>Dividend</t>
  </si>
  <si>
    <t>Ganesh</t>
  </si>
  <si>
    <t>CUS-2</t>
  </si>
  <si>
    <t>Individual</t>
  </si>
  <si>
    <t>OD</t>
  </si>
  <si>
    <t>Babu</t>
  </si>
  <si>
    <t>abcco@zylker.com</t>
  </si>
  <si>
    <t>Due end of the month</t>
  </si>
  <si>
    <t>www.abcco.com</t>
  </si>
  <si>
    <t>business_registered_composition</t>
  </si>
  <si>
    <t>33GSPTN0372G1ZD</t>
  </si>
  <si>
    <t>Commission or Brokerage</t>
  </si>
  <si>
    <t>194H</t>
  </si>
  <si>
    <t>Ram</t>
  </si>
  <si>
    <t>CUS-3</t>
  </si>
  <si>
    <t>abcde@zylker.com</t>
  </si>
  <si>
    <t>Due end of next month</t>
  </si>
  <si>
    <t>34GSPTN0372G1ZD</t>
  </si>
  <si>
    <t>Conact Salutation</t>
  </si>
  <si>
    <t>Contact First Name</t>
  </si>
  <si>
    <t>Conact Last Name</t>
  </si>
  <si>
    <t>Conact Display Name</t>
  </si>
  <si>
    <t>Conact EmailID</t>
  </si>
  <si>
    <t>Conact Phone</t>
  </si>
  <si>
    <t>Conact MobilePhone</t>
  </si>
  <si>
    <t>Conact Skype</t>
  </si>
  <si>
    <t>Conact Department</t>
  </si>
  <si>
    <t>Conact Designation</t>
  </si>
  <si>
    <t>John</t>
  </si>
  <si>
    <t>Peter</t>
  </si>
  <si>
    <t>Flashter Inc.</t>
  </si>
  <si>
    <t>john.peter@zylker.org</t>
  </si>
  <si>
    <t>Sales</t>
  </si>
  <si>
    <t>Sales Executive</t>
  </si>
  <si>
    <t>Smith</t>
  </si>
  <si>
    <t>Robert</t>
  </si>
  <si>
    <t>smith.robert@zylker.org</t>
  </si>
  <si>
    <t>Management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</si>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</sst>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"/>
  <sheetViews>
    <sheetView tabSelected="1" topLeftCell="AZ1" workbookViewId="0">
      <selection activeCell="BD7" sqref="BD7"/>
    </sheetView>
  </sheetViews>
  <sheetFormatPr defaultRowHeight="14.5" x14ac:dyDescent="0.35"/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</row>
    <row r="2" spans="1:65" x14ac:dyDescent="0.3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55</v>
      </c>
      <c r="I2" t="s">
        <v>62</v>
      </c>
      <c r="L2">
        <f>91-8870312457</f>
        <v>-8870312366</v>
      </c>
      <c r="R2">
        <v>0</v>
      </c>
      <c r="S2" t="s">
        <v>63</v>
      </c>
      <c r="V2" t="s">
        <v>64</v>
      </c>
      <c r="W2" t="s">
        <v>65</v>
      </c>
      <c r="X2" t="s">
        <v>66</v>
      </c>
      <c r="Y2" t="s">
        <v>67</v>
      </c>
      <c r="AA2" t="s">
        <v>68</v>
      </c>
      <c r="AC2" t="s">
        <v>69</v>
      </c>
      <c r="AD2" t="s">
        <v>70</v>
      </c>
      <c r="AE2" t="s">
        <v>71</v>
      </c>
      <c r="AF2">
        <v>6000030</v>
      </c>
      <c r="AJ2" t="s">
        <v>68</v>
      </c>
      <c r="AL2" t="s">
        <v>69</v>
      </c>
      <c r="AM2" t="s">
        <v>70</v>
      </c>
      <c r="AN2" t="s">
        <v>71</v>
      </c>
      <c r="AO2">
        <v>6000030</v>
      </c>
      <c r="AY2" t="b">
        <v>0</v>
      </c>
      <c r="BA2" t="s">
        <v>72</v>
      </c>
      <c r="BB2">
        <v>194</v>
      </c>
      <c r="BC2">
        <v>10</v>
      </c>
      <c r="BD2" t="s">
        <v>61</v>
      </c>
      <c r="BE2" t="s">
        <v>100</v>
      </c>
      <c r="BF2" t="s">
        <v>101</v>
      </c>
      <c r="BG2" t="s">
        <v>102</v>
      </c>
      <c r="BH2" t="s">
        <v>103</v>
      </c>
      <c r="BI2">
        <f>27-712315678</f>
        <v>-712315651</v>
      </c>
      <c r="BL2" t="s">
        <v>104</v>
      </c>
      <c r="BM2" t="s">
        <v>105</v>
      </c>
    </row>
    <row r="3" spans="1:65" x14ac:dyDescent="0.35">
      <c r="A3" t="s">
        <v>73</v>
      </c>
      <c r="B3" t="s">
        <v>74</v>
      </c>
      <c r="C3" t="s">
        <v>75</v>
      </c>
      <c r="D3" t="s">
        <v>76</v>
      </c>
      <c r="E3" t="s">
        <v>59</v>
      </c>
      <c r="G3" t="s">
        <v>61</v>
      </c>
      <c r="H3" t="s">
        <v>73</v>
      </c>
      <c r="I3" t="s">
        <v>77</v>
      </c>
      <c r="J3" t="s">
        <v>78</v>
      </c>
      <c r="K3">
        <f>1-5417543010</f>
        <v>-5417543009</v>
      </c>
      <c r="R3">
        <v>-2</v>
      </c>
      <c r="S3" t="s">
        <v>79</v>
      </c>
      <c r="U3" t="s">
        <v>80</v>
      </c>
      <c r="W3" t="s">
        <v>81</v>
      </c>
      <c r="X3" t="s">
        <v>82</v>
      </c>
      <c r="AU3">
        <v>1500</v>
      </c>
      <c r="AV3">
        <v>1</v>
      </c>
      <c r="AY3" t="b">
        <v>1</v>
      </c>
      <c r="AZ3" s="1">
        <v>43651</v>
      </c>
      <c r="BA3" t="s">
        <v>83</v>
      </c>
      <c r="BB3" t="s">
        <v>84</v>
      </c>
      <c r="BC3">
        <v>5</v>
      </c>
      <c r="BD3" t="s">
        <v>61</v>
      </c>
      <c r="BE3" t="s">
        <v>106</v>
      </c>
      <c r="BF3" t="s">
        <v>107</v>
      </c>
      <c r="BG3" t="s">
        <v>102</v>
      </c>
      <c r="BH3" t="s">
        <v>108</v>
      </c>
      <c r="BL3" t="s">
        <v>109</v>
      </c>
      <c r="BM3" t="s">
        <v>110</v>
      </c>
    </row>
    <row r="4" spans="1:65" x14ac:dyDescent="0.35">
      <c r="A4" t="s">
        <v>85</v>
      </c>
      <c r="B4" t="s">
        <v>86</v>
      </c>
      <c r="C4" t="s">
        <v>75</v>
      </c>
      <c r="D4" t="s">
        <v>76</v>
      </c>
      <c r="E4" t="s">
        <v>59</v>
      </c>
      <c r="G4" t="s">
        <v>61</v>
      </c>
      <c r="H4" t="s">
        <v>85</v>
      </c>
      <c r="I4" t="s">
        <v>77</v>
      </c>
      <c r="J4" t="s">
        <v>87</v>
      </c>
      <c r="K4">
        <f>91-9870322457</f>
        <v>-9870322366</v>
      </c>
      <c r="R4">
        <v>-3</v>
      </c>
      <c r="S4" t="s">
        <v>88</v>
      </c>
      <c r="U4" t="s">
        <v>80</v>
      </c>
      <c r="W4" t="s">
        <v>81</v>
      </c>
      <c r="X4" t="s">
        <v>89</v>
      </c>
      <c r="AU4">
        <v>1500</v>
      </c>
      <c r="AV4">
        <v>1</v>
      </c>
      <c r="AY4" t="b">
        <v>1</v>
      </c>
      <c r="AZ4" s="1">
        <v>43651</v>
      </c>
      <c r="BA4" t="s">
        <v>83</v>
      </c>
      <c r="BB4" t="s">
        <v>84</v>
      </c>
      <c r="B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2026-08-08T06:37:47Z</dcterms:created>
  <dcterms:modified xsi:type="dcterms:W3CDTF">2026-08-08T06:39:39Z</dcterms:modified>
</cp:coreProperties>
</file>